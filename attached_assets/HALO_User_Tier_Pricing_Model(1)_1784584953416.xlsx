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dd2d651d8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9575864318d4994"/>
    <x:sheet xmlns:r="http://schemas.openxmlformats.org/officeDocument/2006/relationships" name="User Tiers" sheetId="2" r:id="R58f23d53355d46c2"/>
    <x:sheet xmlns:r="http://schemas.openxmlformats.org/officeDocument/2006/relationships" name="Module Menu" sheetId="3" r:id="Rc336f7a721354972"/>
    <x:sheet xmlns:r="http://schemas.openxmlformats.org/officeDocument/2006/relationships" name="API Usage" sheetId="4" r:id="R2277a4fcc0c04980"/>
    <x:sheet xmlns:r="http://schemas.openxmlformats.org/officeDocument/2006/relationships" name="Calculator" sheetId="5" r:id="Rc0583d9f88154bd0"/>
    <x:sheet xmlns:r="http://schemas.openxmlformats.org/officeDocument/2006/relationships" name="Enterprise Pricing" sheetId="6" r:id="R961f6e957f024c9a"/>
    <x:sheet xmlns:r="http://schemas.openxmlformats.org/officeDocument/2006/relationships" name="Definitions" sheetId="7" r:id="R15445e21c7e0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_);[Red](#,##0);-"/>
    <x:numFmt numFmtId="202" formatCode="$#,##0_);[Red]($#,##0);-"/>
    <x:numFmt numFmtId="203" formatCode="$#,##0.00_);[Red]($#,##0.00);-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2"/>
      <x:color rgb="FF101828"/>
      <x:name val="Carlito"/>
    </x:font>
    <x:font>
      <x:b/>
      <x:sz val="11"/>
      <x:color rgb="FF101828"/>
      <x:name val="Carlito"/>
    </x:font>
    <x:font>
      <x:sz val="11"/>
      <x:color rgb="FF175CD3"/>
      <x:name val="Carlito"/>
    </x:font>
    <x:font>
      <x:b/>
      <x:sz val="11"/>
      <x:color rgb="FF175CD3"/>
      <x:name val="Carlito"/>
    </x:font>
    <x:font>
      <x:b/>
      <x:sz val="11"/>
      <x:color rgb="FF067647"/>
      <x:name val="Carlito"/>
    </x:font>
    <x:font>
      <x:b/>
      <x:sz val="18"/>
      <x:color rgb="FFFFFFFF"/>
      <x:name val="Carlito"/>
    </x:font>
    <x:font>
      <x:i/>
      <x:sz val="11"/>
      <x:color rgb="FF175CD3"/>
      <x:name val="Carlito"/>
    </x:font>
    <x:font>
      <x:i/>
      <x:sz val="11"/>
      <x:color rgb="FF0E9384"/>
      <x:name val="Carlito"/>
    </x:font>
    <x:font>
      <x:sz val="11"/>
      <x:color rgb="FF0000FF"/>
      <x:name val="Carlito"/>
    </x:font>
    <x:font>
      <x:b/>
      <x:sz val="11"/>
      <x:color rgb="FFB42318"/>
      <x:name val="Carlito"/>
    </x:font>
    <x:font>
      <x:b/>
      <x:sz val="11"/>
      <x:color rgb="FFF79009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175CD3"/>
      </x:patternFill>
    </x:fill>
    <x:fill>
      <x:patternFill patternType="solid">
        <x:fgColor rgb="FFEAF2FF"/>
      </x:patternFill>
    </x:fill>
    <x:fill>
      <x:patternFill patternType="solid">
        <x:fgColor rgb="FFF2F4F7"/>
      </x:patternFill>
    </x:fill>
    <x:fill>
      <x:patternFill patternType="solid">
        <x:fgColor rgb="FF0E9384"/>
      </x:patternFill>
    </x:fill>
    <x:fill>
      <x:patternFill patternType="solid">
        <x:fgColor rgb="FFF79009"/>
      </x:patternFill>
    </x:fill>
    <x:fill>
      <x:patternFill patternType="solid">
        <x:fgColor rgb="FFECFDF3"/>
      </x:patternFill>
    </x:fill>
    <x:fill>
      <x:patternFill patternType="solid">
        <x:fgColor rgb="FFE8F8F5"/>
      </x:patternFill>
    </x:fill>
    <x:fill>
      <x:patternFill patternType="solid">
        <x:fgColor rgb="FFFFFDE7"/>
      </x:patternFill>
    </x:fill>
    <x:fill>
      <x:patternFill patternType="solid">
        <x:fgColor rgb="FFB42318"/>
      </x:patternFill>
    </x:fill>
    <x:fill>
      <x:patternFill patternType="solid">
        <x:fgColor rgb="FFFFF4E5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201" fontId="11" fillId="10" borderId="0" xfId="0" applyNumberFormat="1" applyFont="1" applyFill="1" applyBorder="1"/>
    <x:xf numFmtId="201" fontId="11" fillId="10" borderId="1" xfId="0" applyNumberFormat="1" applyFont="1" applyFill="1" applyBorder="1"/>
    <x:xf numFmtId="203" fontId="11" fillId="10" borderId="0" xfId="0" applyNumberFormat="1" applyFont="1" applyFill="1" applyBorder="1"/>
    <x:xf numFmtId="203" fontId="11" fillId="10" borderId="1" xfId="0" applyNumberFormat="1" applyFont="1" applyFill="1" applyBorder="1"/>
    <x:xf numFmtId="200" fontId="11" fillId="10" borderId="0" xfId="0" applyNumberFormat="1" applyFont="1" applyFill="1" applyBorder="1"/>
    <x:xf numFmtId="200" fontId="11" fillId="10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/>
    </x:xf>
    <x:xf numFmtId="0" fontId="11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/>
    <x:xf numFmtId="0" fontId="13" fillId="12" borderId="1" xfId="0" applyNumberFormat="1" applyFont="1" applyFill="1" applyBorder="1"/>
    <x:xf numFmtId="0" fontId="13" fillId="12" borderId="1" xfId="0" applyNumberFormat="1" applyFont="1" applyFill="1" applyBorder="1" applyAlignment="1">
      <x:alignment wrapText="1"/>
    </x:xf>
    <x:xf numFmtId="0" fontId="13" fillId="12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067647"/>
      </x:font>
      <x:fill>
        <x:patternFill patternType="solid">
          <x:bgColor rgb="FFECFDF3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14a6e95024c5a" /><Relationship Type="http://schemas.openxmlformats.org/officeDocument/2006/relationships/theme" Target="/xl/theme/theme1.xml" Id="Rc6bca4777c994900" /><Relationship Type="http://schemas.openxmlformats.org/officeDocument/2006/relationships/sharedStrings" Target="/xl/sharedStrings.xml" Id="Rb05a90f153954ceb" /><Relationship Type="http://schemas.openxmlformats.org/officeDocument/2006/relationships/worksheet" Target="/xl/worksheets/sheet1.xml" Id="R39575864318d4994" /><Relationship Type="http://schemas.openxmlformats.org/officeDocument/2006/relationships/worksheet" Target="/xl/worksheets/sheet2.xml" Id="R58f23d53355d46c2" /><Relationship Type="http://schemas.openxmlformats.org/officeDocument/2006/relationships/worksheet" Target="/xl/worksheets/sheet3.xml" Id="Rc336f7a721354972" /><Relationship Type="http://schemas.openxmlformats.org/officeDocument/2006/relationships/worksheet" Target="/xl/worksheets/sheet4.xml" Id="R2277a4fcc0c04980" /><Relationship Type="http://schemas.openxmlformats.org/officeDocument/2006/relationships/worksheet" Target="/xl/worksheets/sheet5.xml" Id="Rc0583d9f88154bd0" /><Relationship Type="http://schemas.openxmlformats.org/officeDocument/2006/relationships/worksheet" Target="/xl/worksheets/sheet6.xml" Id="R961f6e957f024c9a" /><Relationship Type="http://schemas.openxmlformats.org/officeDocument/2006/relationships/worksheet" Target="/xl/worksheets/sheet7.xml" Id="R15445e21c7e04a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103333682848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Core Monthly Fee by Maximum Users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Core Platform Fee / Month</c:v>
          </c:tx>
          <c:cat>
            <c:strRef>
              <c:f>'User Tiers'!$C$5:$C$24</c:f>
              <c:strCache>
                <c:ptCount val="0"/>
              </c:strCache>
            </c:strRef>
          </c:cat>
          <c:val>
            <c:numRef>
              <c:f>'User Tiers'!$D$5:$D$24</c:f>
              <c:numCache>
                <c:formatCode>$#,##0_);[Red]($#,##0);-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03333682848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6635d475bb4cd3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7" hidden="0" customWidth="1"/>
    <x:col min="3" max="3" width="4" hidden="0" customWidth="1"/>
    <x:col min="4" max="4" width="20" hidden="0" customWidth="1"/>
    <x:col min="5" max="5" width="34" hidden="0" customWidth="1"/>
    <x:col min="6" max="6" width="13" hidden="0" customWidth="1"/>
    <x:col min="7" max="7" width="23" hidden="0" customWidth="1"/>
    <x:col min="8" max="8" width="30" hidden="0" customWidth="1"/>
  </x:cols>
  <x:sheetData>
    <x:row r="1">
      <x:c r="A1" s="4" t="str">
        <x:v>HALO API Platform — User-Tier Pricing Model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9" t="str">
        <x:v>MODEL PRINCIPLE</x:v>
      </x:c>
      <x:c r="B4" s="9"/>
      <x:c r="C4" s="9"/>
      <x:c r="D4" s="9"/>
      <x:c r="E4" s="9"/>
      <x:c r="F4" s="9"/>
      <x:c r="G4" s="9"/>
      <x:c r="H4" s="9"/>
    </x:row>
    <x:row r="5">
      <x:c r="A5" s="15" t="str">
        <x:v>HALO charges a core platform fee in 50-user bands, then adds only the selected business Legos. API consumption is metered separately so high-usage partners remain profitable. Accounts above 1,000 active users or 50 million monthly API calls move to a negotiated enterprise agreement.</x:v>
      </x:c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9">
      <x:c r="A9" s="21" t="str">
        <x:v>Standard pricing range</x:v>
      </x:c>
      <x:c r="B9" s="24" t="str">
        <x:v>1-1,000 monthly active users</x:v>
      </x:c>
      <x:c r="D9" s="27" t="str">
        <x:v>RECOMMENDED COMMERCIAL PACKAGES</x:v>
      </x:c>
      <x:c r="E9" s="27"/>
      <x:c r="F9" s="27"/>
      <x:c r="G9" s="27"/>
      <x:c r="H9" s="27"/>
    </x:row>
    <x:row r="10">
      <x:c r="A10" s="21" t="str">
        <x:v>Tier interval</x:v>
      </x:c>
      <x:c r="B10" s="24" t="str">
        <x:v>50 active users</x:v>
      </x:c>
      <x:c r="D10" s="34" t="str">
        <x:v>Package</x:v>
      </x:c>
      <x:c r="E10" s="34" t="str">
        <x:v>Modules</x:v>
      </x:c>
      <x:c r="F10" s="34" t="str">
        <x:v>Discount</x:v>
      </x:c>
      <x:c r="G10" s="34" t="str">
        <x:v>Best fit</x:v>
      </x:c>
      <x:c r="H10" s="34" t="str">
        <x:v>Notes</x:v>
      </x:c>
    </x:row>
    <x:row r="11">
      <x:c r="A11" s="21" t="str">
        <x:v>Core platform range</x:v>
      </x:c>
      <x:c r="B11" s="24" t="str">
        <x:v>$995-$6,250 per month</x:v>
      </x:c>
      <x:c r="D11" s="35" t="str">
        <x:v>Business Essentials</x:v>
      </x:c>
      <x:c r="E11" s="35" t="str">
        <x:v>Money, Books, Tax, Documents, Analytics</x:v>
      </x:c>
      <x:c r="F11" s="36" t="n">
        <x:v>0.15</x:v>
      </x:c>
      <x:c r="G11" s="35" t="str">
        <x:v>UR Founders and SMB finance</x:v>
      </x:c>
      <x:c r="H11" s="35" t="str">
        <x:v>Best default launch package</x:v>
      </x:c>
    </x:row>
    <x:row r="12">
      <x:c r="A12" s="21" t="str">
        <x:v>Included API allowance</x:v>
      </x:c>
      <x:c r="B12" s="24" t="str">
        <x:v>5,000 calls per maximum tier user</x:v>
      </x:c>
      <x:c r="D12" s="35" t="str">
        <x:v>Operations Suite</x:v>
      </x:c>
      <x:c r="E12" s="35" t="str">
        <x:v>Sell, Work, Team, Documents, Automations</x:v>
      </x:c>
      <x:c r="F12" s="36" t="n">
        <x:v>0.15</x:v>
      </x:c>
      <x:c r="G12" s="35" t="str">
        <x:v>Service and field businesses</x:v>
      </x:c>
      <x:c r="H12" s="35" t="str">
        <x:v>Operations-first</x:v>
      </x:c>
    </x:row>
    <x:row r="13">
      <x:c r="A13" s="21" t="str">
        <x:v>Module pricing</x:v>
      </x:c>
      <x:c r="B13" s="24" t="str">
        <x:v>Per active user, volume-discounted</x:v>
      </x:c>
      <x:c r="D13" s="35" t="str">
        <x:v>Full Business OS</x:v>
      </x:c>
      <x:c r="E13" s="35" t="str">
        <x:v>All modules</x:v>
      </x:c>
      <x:c r="F13" s="36" t="n">
        <x:v>0.25</x:v>
      </x:c>
      <x:c r="G13" s="35" t="str">
        <x:v>White-label platform partners</x:v>
      </x:c>
      <x:c r="H13" s="35" t="str">
        <x:v>Highest customer value</x:v>
      </x:c>
    </x:row>
    <x:row r="14">
      <x:c r="A14" s="21" t="str">
        <x:v>Enterprise threshold</x:v>
      </x:c>
      <x:c r="B14" s="24" t="str">
        <x:v>&gt;1,000 users, &gt;50M calls or &gt;250 sustained RPS</x:v>
      </x:c>
    </x:row>
    <x:row r="16">
      <x:c r="A16" s="41" t="str">
        <x:v>Why this model works</x:v>
      </x:c>
      <x:c r="B16" s="41"/>
      <x:c r="C16" s="41"/>
      <x:c r="D16" s="41"/>
      <x:c r="E16" s="41"/>
      <x:c r="F16" s="41"/>
      <x:c r="G16" s="41"/>
      <x:c r="H16" s="41"/>
    </x:row>
    <x:row r="17">
      <x:c r="A17" s="44" t="str">
        <x:v>Predictable</x:v>
      </x:c>
      <x:c r="B17" s="35" t="str">
        <x:v>Partners know their monthly platform cost before usage overages.</x:v>
      </x:c>
    </x:row>
    <x:row r="18">
      <x:c r="A18" s="44" t="str">
        <x:v>Composable</x:v>
      </x:c>
      <x:c r="B18" s="35" t="str">
        <x:v>Every module can be purchased, embedded and removed independently.</x:v>
      </x:c>
    </x:row>
    <x:row r="19">
      <x:c r="A19" s="44" t="str">
        <x:v>Scalable</x:v>
      </x:c>
      <x:c r="B19" s="35" t="str">
        <x:v>Per-user module rates decline as adoption grows.</x:v>
      </x:c>
    </x:row>
    <x:row r="20">
      <x:c r="A20" s="44" t="str">
        <x:v>Protected</x:v>
      </x:c>
      <x:c r="B20" s="35" t="str">
        <x:v>Heavy API and infrastructure users automatically move to enterprise review.</x:v>
      </x:c>
    </x:row>
    <x:row r="22">
      <x:c r="A22" s="49" t="str">
        <x:v>Internal recommendation: UR Founders should package HALO as recurring customer value, not expose wholesale pricing. Use the Calculator tab to set a retail markup and estimate gross margin.</x:v>
      </x:c>
      <x:c r="B22" s="49"/>
      <x:c r="C22" s="49"/>
      <x:c r="D22" s="49"/>
      <x:c r="E22" s="49"/>
      <x:c r="F22" s="49"/>
      <x:c r="G22" s="49"/>
      <x:c r="H22" s="49"/>
    </x:row>
    <x:row r="23">
      <x:c r="A23" s="49"/>
      <x:c r="B23" s="49"/>
      <x:c r="C23" s="49"/>
      <x:c r="D23" s="49"/>
      <x:c r="E23" s="49"/>
      <x:c r="F23" s="49"/>
      <x:c r="G23" s="49"/>
      <x:c r="H23" s="49"/>
    </x:row>
    <x:row r="24">
      <x:c r="A24" s="49"/>
      <x:c r="B24" s="49"/>
      <x:c r="C24" s="49"/>
      <x:c r="D24" s="49"/>
      <x:c r="E24" s="49"/>
      <x:c r="F24" s="49"/>
      <x:c r="G24" s="49"/>
      <x:c r="H24" s="49"/>
    </x:row>
  </x:sheetData>
  <x:mergeCells>
    <x:mergeCell ref="A1:H2"/>
    <x:mergeCell ref="A4:H4"/>
    <x:mergeCell ref="A5:H7"/>
    <x:mergeCell ref="D9:H9"/>
    <x:mergeCell ref="A16:H16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9" hidden="0" customWidth="1"/>
    <x:col min="5" max="5" width="20" hidden="0" customWidth="1"/>
    <x:col min="6" max="6" width="17" hidden="0" customWidth="1"/>
    <x:col min="7" max="7" width="16" hidden="0" customWidth="1"/>
    <x:col min="8" max="8" width="18" hidden="0" customWidth="1"/>
    <x:col min="9" max="9" width="19" hidden="0" customWidth="1"/>
    <x:col min="10" max="10" width="14" hidden="0" customWidth="1"/>
  </x:cols>
  <x:sheetData>
    <x:row r="1">
      <x:c r="A1" s="55" t="str">
        <x:v>Standard Pricing — 50-User Intervals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</x:row>
    <x:row r="3">
      <x:c r="A3" s="58" t="str">
        <x:v>Pricing is based on total monthly active end users across the partner's connected businesses.</x:v>
      </x:c>
      <x:c r="B3" s="58"/>
      <x:c r="C3" s="58"/>
      <x:c r="D3" s="58"/>
      <x:c r="E3" s="58"/>
      <x:c r="F3" s="58"/>
      <x:c r="G3" s="58"/>
      <x:c r="H3" s="58"/>
      <x:c r="I3" s="58"/>
      <x:c r="J3" s="58"/>
    </x:row>
    <x:row r="4">
      <x:c r="A4" s="61" t="str">
        <x:v>Tier</x:v>
      </x:c>
      <x:c r="B4" s="61" t="str">
        <x:v>Minimum Users</x:v>
      </x:c>
      <x:c r="C4" s="61" t="str">
        <x:v>Maximum Users</x:v>
      </x:c>
      <x:c r="D4" s="61" t="str">
        <x:v>Core Platform Fee / Month</x:v>
      </x:c>
      <x:c r="E4" s="61" t="str">
        <x:v>Included API Calls / Month</x:v>
      </x:c>
      <x:c r="F4" s="61" t="str">
        <x:v>Included Storage (GB)</x:v>
      </x:c>
      <x:c r="G4" s="61" t="str">
        <x:v>Rate Limit (RPS)</x:v>
      </x:c>
      <x:c r="H4" s="61" t="str">
        <x:v>Effective Core / User</x:v>
      </x:c>
      <x:c r="I4" s="61" t="str">
        <x:v>Module Price Multiplier</x:v>
      </x:c>
      <x:c r="J4" s="61" t="str">
        <x:v>Support</x:v>
      </x:c>
    </x:row>
    <x:row r="5">
      <x:c r="A5" t="str">
        <x:v>1-50</x:v>
      </x:c>
      <x:c r="B5" s="64" t="n">
        <x:v>1</x:v>
      </x:c>
      <x:c r="C5" s="64" t="n">
        <x:v>50</x:v>
      </x:c>
      <x:c r="D5" s="66" t="n">
        <x:v>995</x:v>
      </x:c>
      <x:c r="E5" s="64" t="n">
        <x:v>250000</x:v>
      </x:c>
      <x:c r="F5" s="64" t="n">
        <x:v>112.5</x:v>
      </x:c>
      <x:c r="G5" s="64" t="n">
        <x:v>25</x:v>
      </x:c>
      <x:c r="H5" s="68" t="n">
        <x:v>19.9</x:v>
      </x:c>
      <x:c r="I5" s="32" t="n">
        <x:v>1</x:v>
      </x:c>
      <x:c r="J5" t="str">
        <x:v>Standard</x:v>
      </x:c>
    </x:row>
    <x:row r="6">
      <x:c r="A6" t="str">
        <x:v>51-100</x:v>
      </x:c>
      <x:c r="B6" s="64" t="n">
        <x:v>51</x:v>
      </x:c>
      <x:c r="C6" s="64" t="n">
        <x:v>100</x:v>
      </x:c>
      <x:c r="D6" s="66" t="n">
        <x:v>1445</x:v>
      </x:c>
      <x:c r="E6" s="64" t="n">
        <x:v>500000</x:v>
      </x:c>
      <x:c r="F6" s="64" t="n">
        <x:v>125</x:v>
      </x:c>
      <x:c r="G6" s="64" t="n">
        <x:v>35</x:v>
      </x:c>
      <x:c r="H6" s="68" t="n">
        <x:v>14.45</x:v>
      </x:c>
      <x:c r="I6" s="32" t="n">
        <x:v>1</x:v>
      </x:c>
      <x:c r="J6" t="str">
        <x:v>Standard</x:v>
      </x:c>
    </x:row>
    <x:row r="7">
      <x:c r="A7" t="str">
        <x:v>101-150</x:v>
      </x:c>
      <x:c r="B7" s="64" t="n">
        <x:v>101</x:v>
      </x:c>
      <x:c r="C7" s="64" t="n">
        <x:v>150</x:v>
      </x:c>
      <x:c r="D7" s="66" t="n">
        <x:v>1870</x:v>
      </x:c>
      <x:c r="E7" s="64" t="n">
        <x:v>750000</x:v>
      </x:c>
      <x:c r="F7" s="64" t="n">
        <x:v>137.5</x:v>
      </x:c>
      <x:c r="G7" s="64" t="n">
        <x:v>45</x:v>
      </x:c>
      <x:c r="H7" s="68" t="n">
        <x:v>12.466666666666667</x:v>
      </x:c>
      <x:c r="I7" s="32" t="n">
        <x:v>1</x:v>
      </x:c>
      <x:c r="J7" t="str">
        <x:v>Standard</x:v>
      </x:c>
    </x:row>
    <x:row r="8">
      <x:c r="A8" t="str">
        <x:v>151-200</x:v>
      </x:c>
      <x:c r="B8" s="64" t="n">
        <x:v>151</x:v>
      </x:c>
      <x:c r="C8" s="64" t="n">
        <x:v>200</x:v>
      </x:c>
      <x:c r="D8" s="66" t="n">
        <x:v>2270</x:v>
      </x:c>
      <x:c r="E8" s="64" t="n">
        <x:v>1000000</x:v>
      </x:c>
      <x:c r="F8" s="64" t="n">
        <x:v>150</x:v>
      </x:c>
      <x:c r="G8" s="64" t="n">
        <x:v>55</x:v>
      </x:c>
      <x:c r="H8" s="68" t="n">
        <x:v>11.35</x:v>
      </x:c>
      <x:c r="I8" s="32" t="n">
        <x:v>1</x:v>
      </x:c>
      <x:c r="J8" t="str">
        <x:v>Standard</x:v>
      </x:c>
    </x:row>
    <x:row r="9">
      <x:c r="A9" t="str">
        <x:v>201-250</x:v>
      </x:c>
      <x:c r="B9" s="64" t="n">
        <x:v>201</x:v>
      </x:c>
      <x:c r="C9" s="64" t="n">
        <x:v>250</x:v>
      </x:c>
      <x:c r="D9" s="66" t="n">
        <x:v>2645</x:v>
      </x:c>
      <x:c r="E9" s="64" t="n">
        <x:v>1250000</x:v>
      </x:c>
      <x:c r="F9" s="64" t="n">
        <x:v>162.5</x:v>
      </x:c>
      <x:c r="G9" s="64" t="n">
        <x:v>65</x:v>
      </x:c>
      <x:c r="H9" s="68" t="n">
        <x:v>10.58</x:v>
      </x:c>
      <x:c r="I9" s="32" t="n">
        <x:v>1</x:v>
      </x:c>
      <x:c r="J9" t="str">
        <x:v>Standard</x:v>
      </x:c>
    </x:row>
    <x:row r="10">
      <x:c r="A10" t="str">
        <x:v>251-300</x:v>
      </x:c>
      <x:c r="B10" s="64" t="n">
        <x:v>251</x:v>
      </x:c>
      <x:c r="C10" s="64" t="n">
        <x:v>300</x:v>
      </x:c>
      <x:c r="D10" s="66" t="n">
        <x:v>2995</x:v>
      </x:c>
      <x:c r="E10" s="64" t="n">
        <x:v>1500000</x:v>
      </x:c>
      <x:c r="F10" s="64" t="n">
        <x:v>175</x:v>
      </x:c>
      <x:c r="G10" s="64" t="n">
        <x:v>75</x:v>
      </x:c>
      <x:c r="H10" s="68" t="n">
        <x:v>9.983333333333333</x:v>
      </x:c>
      <x:c r="I10" s="32" t="n">
        <x:v>0.9</x:v>
      </x:c>
      <x:c r="J10" t="str">
        <x:v>Priority</x:v>
      </x:c>
    </x:row>
    <x:row r="11">
      <x:c r="A11" t="str">
        <x:v>301-350</x:v>
      </x:c>
      <x:c r="B11" s="64" t="n">
        <x:v>301</x:v>
      </x:c>
      <x:c r="C11" s="64" t="n">
        <x:v>350</x:v>
      </x:c>
      <x:c r="D11" s="66" t="n">
        <x:v>3320</x:v>
      </x:c>
      <x:c r="E11" s="64" t="n">
        <x:v>1750000</x:v>
      </x:c>
      <x:c r="F11" s="64" t="n">
        <x:v>187.5</x:v>
      </x:c>
      <x:c r="G11" s="64" t="n">
        <x:v>85</x:v>
      </x:c>
      <x:c r="H11" s="68" t="n">
        <x:v>9.485714285714286</x:v>
      </x:c>
      <x:c r="I11" s="32" t="n">
        <x:v>0.9</x:v>
      </x:c>
      <x:c r="J11" t="str">
        <x:v>Priority</x:v>
      </x:c>
    </x:row>
    <x:row r="12">
      <x:c r="A12" t="str">
        <x:v>351-400</x:v>
      </x:c>
      <x:c r="B12" s="64" t="n">
        <x:v>351</x:v>
      </x:c>
      <x:c r="C12" s="64" t="n">
        <x:v>400</x:v>
      </x:c>
      <x:c r="D12" s="66" t="n">
        <x:v>3620</x:v>
      </x:c>
      <x:c r="E12" s="64" t="n">
        <x:v>2000000</x:v>
      </x:c>
      <x:c r="F12" s="64" t="n">
        <x:v>200</x:v>
      </x:c>
      <x:c r="G12" s="64" t="n">
        <x:v>95</x:v>
      </x:c>
      <x:c r="H12" s="68" t="n">
        <x:v>9.05</x:v>
      </x:c>
      <x:c r="I12" s="32" t="n">
        <x:v>0.9</x:v>
      </x:c>
      <x:c r="J12" t="str">
        <x:v>Priority</x:v>
      </x:c>
    </x:row>
    <x:row r="13">
      <x:c r="A13" t="str">
        <x:v>401-450</x:v>
      </x:c>
      <x:c r="B13" s="64" t="n">
        <x:v>401</x:v>
      </x:c>
      <x:c r="C13" s="64" t="n">
        <x:v>450</x:v>
      </x:c>
      <x:c r="D13" s="66" t="n">
        <x:v>3910</x:v>
      </x:c>
      <x:c r="E13" s="64" t="n">
        <x:v>2250000</x:v>
      </x:c>
      <x:c r="F13" s="64" t="n">
        <x:v>212.5</x:v>
      </x:c>
      <x:c r="G13" s="64" t="n">
        <x:v>105</x:v>
      </x:c>
      <x:c r="H13" s="68" t="n">
        <x:v>8.688888888888888</x:v>
      </x:c>
      <x:c r="I13" s="32" t="n">
        <x:v>0.9</x:v>
      </x:c>
      <x:c r="J13" t="str">
        <x:v>Priority</x:v>
      </x:c>
    </x:row>
    <x:row r="14">
      <x:c r="A14" t="str">
        <x:v>451-500</x:v>
      </x:c>
      <x:c r="B14" s="64" t="n">
        <x:v>451</x:v>
      </x:c>
      <x:c r="C14" s="64" t="n">
        <x:v>500</x:v>
      </x:c>
      <x:c r="D14" s="66" t="n">
        <x:v>4185</x:v>
      </x:c>
      <x:c r="E14" s="64" t="n">
        <x:v>2500000</x:v>
      </x:c>
      <x:c r="F14" s="64" t="n">
        <x:v>225</x:v>
      </x:c>
      <x:c r="G14" s="64" t="n">
        <x:v>115</x:v>
      </x:c>
      <x:c r="H14" s="68" t="n">
        <x:v>8.37</x:v>
      </x:c>
      <x:c r="I14" s="32" t="n">
        <x:v>0.9</x:v>
      </x:c>
      <x:c r="J14" t="str">
        <x:v>Priority</x:v>
      </x:c>
    </x:row>
    <x:row r="15">
      <x:c r="A15" t="str">
        <x:v>501-550</x:v>
      </x:c>
      <x:c r="B15" s="64" t="n">
        <x:v>501</x:v>
      </x:c>
      <x:c r="C15" s="64" t="n">
        <x:v>550</x:v>
      </x:c>
      <x:c r="D15" s="66" t="n">
        <x:v>4450</x:v>
      </x:c>
      <x:c r="E15" s="64" t="n">
        <x:v>2750000</x:v>
      </x:c>
      <x:c r="F15" s="64" t="n">
        <x:v>237.5</x:v>
      </x:c>
      <x:c r="G15" s="64" t="n">
        <x:v>125</x:v>
      </x:c>
      <x:c r="H15" s="68" t="n">
        <x:v>8.090909090909092</x:v>
      </x:c>
      <x:c r="I15" s="32" t="n">
        <x:v>0.8</x:v>
      </x:c>
      <x:c r="J15" t="str">
        <x:v>Advanced</x:v>
      </x:c>
    </x:row>
    <x:row r="16">
      <x:c r="A16" t="str">
        <x:v>551-600</x:v>
      </x:c>
      <x:c r="B16" s="64" t="n">
        <x:v>551</x:v>
      </x:c>
      <x:c r="C16" s="64" t="n">
        <x:v>600</x:v>
      </x:c>
      <x:c r="D16" s="66" t="n">
        <x:v>4700</x:v>
      </x:c>
      <x:c r="E16" s="64" t="n">
        <x:v>3000000</x:v>
      </x:c>
      <x:c r="F16" s="64" t="n">
        <x:v>250</x:v>
      </x:c>
      <x:c r="G16" s="64" t="n">
        <x:v>135</x:v>
      </x:c>
      <x:c r="H16" s="68" t="n">
        <x:v>7.833333333333333</x:v>
      </x:c>
      <x:c r="I16" s="32" t="n">
        <x:v>0.8</x:v>
      </x:c>
      <x:c r="J16" t="str">
        <x:v>Advanced</x:v>
      </x:c>
    </x:row>
    <x:row r="17">
      <x:c r="A17" t="str">
        <x:v>601-650</x:v>
      </x:c>
      <x:c r="B17" s="64" t="n">
        <x:v>601</x:v>
      </x:c>
      <x:c r="C17" s="64" t="n">
        <x:v>650</x:v>
      </x:c>
      <x:c r="D17" s="66" t="n">
        <x:v>4940</x:v>
      </x:c>
      <x:c r="E17" s="64" t="n">
        <x:v>3250000</x:v>
      </x:c>
      <x:c r="F17" s="64" t="n">
        <x:v>262.5</x:v>
      </x:c>
      <x:c r="G17" s="64" t="n">
        <x:v>145</x:v>
      </x:c>
      <x:c r="H17" s="68" t="n">
        <x:v>7.6</x:v>
      </x:c>
      <x:c r="I17" s="32" t="n">
        <x:v>0.8</x:v>
      </x:c>
      <x:c r="J17" t="str">
        <x:v>Advanced</x:v>
      </x:c>
    </x:row>
    <x:row r="18">
      <x:c r="A18" t="str">
        <x:v>651-700</x:v>
      </x:c>
      <x:c r="B18" s="64" t="n">
        <x:v>651</x:v>
      </x:c>
      <x:c r="C18" s="64" t="n">
        <x:v>700</x:v>
      </x:c>
      <x:c r="D18" s="66" t="n">
        <x:v>5165</x:v>
      </x:c>
      <x:c r="E18" s="64" t="n">
        <x:v>3500000</x:v>
      </x:c>
      <x:c r="F18" s="64" t="n">
        <x:v>275</x:v>
      </x:c>
      <x:c r="G18" s="64" t="n">
        <x:v>155</x:v>
      </x:c>
      <x:c r="H18" s="68" t="n">
        <x:v>7.378571428571429</x:v>
      </x:c>
      <x:c r="I18" s="32" t="n">
        <x:v>0.8</x:v>
      </x:c>
      <x:c r="J18" t="str">
        <x:v>Advanced</x:v>
      </x:c>
    </x:row>
    <x:row r="19">
      <x:c r="A19" t="str">
        <x:v>701-750</x:v>
      </x:c>
      <x:c r="B19" s="64" t="n">
        <x:v>701</x:v>
      </x:c>
      <x:c r="C19" s="64" t="n">
        <x:v>750</x:v>
      </x:c>
      <x:c r="D19" s="66" t="n">
        <x:v>5375</x:v>
      </x:c>
      <x:c r="E19" s="64" t="n">
        <x:v>3750000</x:v>
      </x:c>
      <x:c r="F19" s="64" t="n">
        <x:v>287.5</x:v>
      </x:c>
      <x:c r="G19" s="64" t="n">
        <x:v>165</x:v>
      </x:c>
      <x:c r="H19" s="68" t="n">
        <x:v>7.166666666666667</x:v>
      </x:c>
      <x:c r="I19" s="32" t="n">
        <x:v>0.8</x:v>
      </x:c>
      <x:c r="J19" t="str">
        <x:v>Advanced</x:v>
      </x:c>
    </x:row>
    <x:row r="20">
      <x:c r="A20" t="str">
        <x:v>751-800</x:v>
      </x:c>
      <x:c r="B20" s="64" t="n">
        <x:v>751</x:v>
      </x:c>
      <x:c r="C20" s="64" t="n">
        <x:v>800</x:v>
      </x:c>
      <x:c r="D20" s="66" t="n">
        <x:v>5575</x:v>
      </x:c>
      <x:c r="E20" s="64" t="n">
        <x:v>4000000</x:v>
      </x:c>
      <x:c r="F20" s="64" t="n">
        <x:v>300</x:v>
      </x:c>
      <x:c r="G20" s="64" t="n">
        <x:v>175</x:v>
      </x:c>
      <x:c r="H20" s="68" t="n">
        <x:v>6.96875</x:v>
      </x:c>
      <x:c r="I20" s="32" t="n">
        <x:v>0.7</x:v>
      </x:c>
      <x:c r="J20" t="str">
        <x:v>Advanced</x:v>
      </x:c>
    </x:row>
    <x:row r="21">
      <x:c r="A21" t="str">
        <x:v>801-850</x:v>
      </x:c>
      <x:c r="B21" s="64" t="n">
        <x:v>801</x:v>
      </x:c>
      <x:c r="C21" s="64" t="n">
        <x:v>850</x:v>
      </x:c>
      <x:c r="D21" s="66" t="n">
        <x:v>5765</x:v>
      </x:c>
      <x:c r="E21" s="64" t="n">
        <x:v>4250000</x:v>
      </x:c>
      <x:c r="F21" s="64" t="n">
        <x:v>312.5</x:v>
      </x:c>
      <x:c r="G21" s="64" t="n">
        <x:v>185</x:v>
      </x:c>
      <x:c r="H21" s="68" t="n">
        <x:v>6.7823529411764705</x:v>
      </x:c>
      <x:c r="I21" s="32" t="n">
        <x:v>0.7</x:v>
      </x:c>
      <x:c r="J21" t="str">
        <x:v>Advanced</x:v>
      </x:c>
    </x:row>
    <x:row r="22">
      <x:c r="A22" t="str">
        <x:v>851-900</x:v>
      </x:c>
      <x:c r="B22" s="64" t="n">
        <x:v>851</x:v>
      </x:c>
      <x:c r="C22" s="64" t="n">
        <x:v>900</x:v>
      </x:c>
      <x:c r="D22" s="66" t="n">
        <x:v>5940</x:v>
      </x:c>
      <x:c r="E22" s="64" t="n">
        <x:v>4500000</x:v>
      </x:c>
      <x:c r="F22" s="64" t="n">
        <x:v>325</x:v>
      </x:c>
      <x:c r="G22" s="64" t="n">
        <x:v>195</x:v>
      </x:c>
      <x:c r="H22" s="68" t="n">
        <x:v>6.6</x:v>
      </x:c>
      <x:c r="I22" s="32" t="n">
        <x:v>0.7</x:v>
      </x:c>
      <x:c r="J22" t="str">
        <x:v>Advanced</x:v>
      </x:c>
    </x:row>
    <x:row r="23">
      <x:c r="A23" t="str">
        <x:v>901-950</x:v>
      </x:c>
      <x:c r="B23" s="64" t="n">
        <x:v>901</x:v>
      </x:c>
      <x:c r="C23" s="64" t="n">
        <x:v>950</x:v>
      </x:c>
      <x:c r="D23" s="66" t="n">
        <x:v>6100</x:v>
      </x:c>
      <x:c r="E23" s="64" t="n">
        <x:v>4750000</x:v>
      </x:c>
      <x:c r="F23" s="64" t="n">
        <x:v>337.5</x:v>
      </x:c>
      <x:c r="G23" s="64" t="n">
        <x:v>205</x:v>
      </x:c>
      <x:c r="H23" s="68" t="n">
        <x:v>6.421052631578948</x:v>
      </x:c>
      <x:c r="I23" s="32" t="n">
        <x:v>0.7</x:v>
      </x:c>
      <x:c r="J23" t="str">
        <x:v>Advanced</x:v>
      </x:c>
    </x:row>
    <x:row r="24">
      <x:c r="A24" t="str">
        <x:v>951-1000</x:v>
      </x:c>
      <x:c r="B24" s="64" t="n">
        <x:v>951</x:v>
      </x:c>
      <x:c r="C24" s="64" t="n">
        <x:v>1000</x:v>
      </x:c>
      <x:c r="D24" s="66" t="n">
        <x:v>6250</x:v>
      </x:c>
      <x:c r="E24" s="64" t="n">
        <x:v>5000000</x:v>
      </x:c>
      <x:c r="F24" s="64" t="n">
        <x:v>350</x:v>
      </x:c>
      <x:c r="G24" s="64" t="n">
        <x:v>215</x:v>
      </x:c>
      <x:c r="H24" s="68" t="n">
        <x:v>6.25</x:v>
      </x:c>
      <x:c r="I24" s="32" t="n">
        <x:v>0.7</x:v>
      </x:c>
      <x:c r="J24" t="str">
        <x:v>Advanced</x:v>
      </x:c>
    </x:row>
  </x:sheetData>
  <x:mergeCells>
    <x:mergeCell ref="A1:J2"/>
    <x:mergeCell ref="A3:J3"/>
  </x:mergeCells>
  <x:conditionalFormatting sqref="A5:J24">
    <x:cfRule type="expression" dxfId="0" priority="1">
      <x:formula>MOD(ROW(),2)=0</x:formula>
    </x:cfRule>
  </x:conditionalFormatting>
  <x:pageMargins left="0.7" right="0.7" top="0.75" bottom="0.75" header="0.3" footer="0.3"/>
  <x:drawing xmlns:r="http://schemas.openxmlformats.org/officeDocument/2006/relationships" r:id="Rc46635d475bb4cd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0" hidden="0" customWidth="1"/>
    <x:col min="4" max="4" width="20" hidden="0" customWidth="1"/>
    <x:col min="5" max="5" width="44" hidden="0" customWidth="1"/>
    <x:col min="6" max="6" width="34" hidden="0" customWidth="1"/>
  </x:cols>
  <x:sheetData>
    <x:row r="1">
      <x:c r="A1" s="55" t="str">
        <x:v>A-La-Carte HALO Lego Pricing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3">
      <x:c r="A3" s="71" t="str">
        <x:v>Module rates are charged per monthly active user and multiplied by the volume factor from the selected user tier.</x:v>
      </x:c>
      <x:c r="B3" s="71"/>
      <x:c r="C3" s="71"/>
      <x:c r="D3" s="71"/>
      <x:c r="E3" s="71"/>
      <x:c r="F3" s="71"/>
    </x:row>
    <x:row r="4">
      <x:c r="A4" s="74" t="str">
        <x:v>Module</x:v>
      </x:c>
      <x:c r="B4" s="74" t="str">
        <x:v>Capability</x:v>
      </x:c>
      <x:c r="C4" s="74" t="str">
        <x:v>Base Rate / Active User</x:v>
      </x:c>
      <x:c r="D4" s="74" t="str">
        <x:v>Monthly Minimum</x:v>
      </x:c>
      <x:c r="E4" s="74" t="str">
        <x:v>Metered / Pass-Through Cost</x:v>
      </x:c>
      <x:c r="F4" s="74" t="str">
        <x:v>Pricing Source</x:v>
      </x:c>
    </x:row>
    <x:row r="5">
      <x:c r="A5" s="35" t="str">
        <x:v>HALO Money</x:v>
      </x:c>
      <x:c r="B5" s="35" t="str">
        <x:v>Banking connections, invoices, bills, payments, expenses and cash visibility.</x:v>
      </x:c>
      <x:c r="C5" s="76" t="n">
        <x:v>3</x:v>
      </x:c>
      <x:c r="D5" s="76" t="n">
        <x:v>100</x:v>
      </x:c>
      <x:c r="E5" s="35" t="str">
        <x:v>Payment and bank-provider costs pass through.</x:v>
      </x:c>
      <x:c r="F5" s="35" t="str">
        <x:v>HALO recommended launch pricing — July 2026</x:v>
      </x:c>
    </x:row>
    <x:row r="6">
      <x:c r="A6" s="35" t="str">
        <x:v>HALO Books</x:v>
      </x:c>
      <x:c r="B6" s="35" t="str">
        <x:v>Double-entry ledger, categorization, reconciliation, close and financial statements.</x:v>
      </x:c>
      <x:c r="C6" s="76" t="n">
        <x:v>6</x:v>
      </x:c>
      <x:c r="D6" s="76" t="n">
        <x:v>250</x:v>
      </x:c>
      <x:c r="E6" s="35" t="str">
        <x:v>Optional outsourced bookkeeping priced separately.</x:v>
      </x:c>
      <x:c r="F6" s="35" t="str">
        <x:v>HALO recommended launch pricing — July 2026</x:v>
      </x:c>
    </x:row>
    <x:row r="7">
      <x:c r="A7" s="35" t="str">
        <x:v>HALO Tax</x:v>
      </x:c>
      <x:c r="B7" s="35" t="str">
        <x:v>Tax readiness, obligations, workpapers, forms, preparer workflow and filing status.</x:v>
      </x:c>
      <x:c r="C7" s="76" t="n">
        <x:v>5</x:v>
      </x:c>
      <x:c r="D7" s="76" t="n">
        <x:v>200</x:v>
      </x:c>
      <x:c r="E7" s="35" t="str">
        <x:v>Preparation, filing and government fees pass through.</x:v>
      </x:c>
      <x:c r="F7" s="35" t="str">
        <x:v>HALO recommended launch pricing — July 2026</x:v>
      </x:c>
    </x:row>
    <x:row r="8">
      <x:c r="A8" s="35" t="str">
        <x:v>HALO Sell</x:v>
      </x:c>
      <x:c r="B8" s="35" t="str">
        <x:v>CRM, leads, proposals, contracts, pipeline, customers and recurring billing.</x:v>
      </x:c>
      <x:c r="C8" s="76" t="n">
        <x:v>4</x:v>
      </x:c>
      <x:c r="D8" s="76" t="n">
        <x:v>150</x:v>
      </x:c>
      <x:c r="E8" s="35" t="str">
        <x:v>Email/SMS delivery costs pass through.</x:v>
      </x:c>
      <x:c r="F8" s="35" t="str">
        <x:v>HALO recommended launch pricing — July 2026</x:v>
      </x:c>
    </x:row>
    <x:row r="9">
      <x:c r="A9" s="35" t="str">
        <x:v>HALO Work</x:v>
      </x:c>
      <x:c r="B9" s="35" t="str">
        <x:v>Projects, jobs, tasks, time, approvals, deliverables and job profitability.</x:v>
      </x:c>
      <x:c r="C9" s="76" t="n">
        <x:v>4</x:v>
      </x:c>
      <x:c r="D9" s="76" t="n">
        <x:v>150</x:v>
      </x:c>
      <x:c r="E9" s="35" t="str">
        <x:v>Mapping or specialty field-service APIs pass through.</x:v>
      </x:c>
      <x:c r="F9" s="35" t="str">
        <x:v>HALO recommended launch pricing — July 2026</x:v>
      </x:c>
    </x:row>
    <x:row r="10">
      <x:c r="A10" s="35" t="str">
        <x:v>HALO Team</x:v>
      </x:c>
      <x:c r="B10" s="35" t="str">
        <x:v>Employees, contractors, onboarding, permissions, time and payroll orchestration.</x:v>
      </x:c>
      <x:c r="C10" s="76" t="n">
        <x:v>3</x:v>
      </x:c>
      <x:c r="D10" s="76" t="n">
        <x:v>100</x:v>
      </x:c>
      <x:c r="E10" s="35" t="str">
        <x:v>Payroll-provider and payment fees pass through.</x:v>
      </x:c>
      <x:c r="F10" s="35" t="str">
        <x:v>HALO recommended launch pricing — July 2026</x:v>
      </x:c>
    </x:row>
    <x:row r="11">
      <x:c r="A11" s="35" t="str">
        <x:v>HALO Documents</x:v>
      </x:c>
      <x:c r="B11" s="35" t="str">
        <x:v>Document vault, templates, sharing, OCR and electronic signature workflows.</x:v>
      </x:c>
      <x:c r="C11" s="76" t="n">
        <x:v>2</x:v>
      </x:c>
      <x:c r="D11" s="76" t="n">
        <x:v>75</x:v>
      </x:c>
      <x:c r="E11" s="35" t="str">
        <x:v>OCR and signature envelopes are usage-metered.</x:v>
      </x:c>
      <x:c r="F11" s="35" t="str">
        <x:v>HALO recommended launch pricing — July 2026</x:v>
      </x:c>
    </x:row>
    <x:row r="12">
      <x:c r="A12" s="35" t="str">
        <x:v>HALO Analytics</x:v>
      </x:c>
      <x:c r="B12" s="35" t="str">
        <x:v>Dashboards, KPIs, business health, forecasting and cross-module reporting.</x:v>
      </x:c>
      <x:c r="C12" s="76" t="n">
        <x:v>2.5</x:v>
      </x:c>
      <x:c r="D12" s="76" t="n">
        <x:v>100</x:v>
      </x:c>
      <x:c r="E12" s="35" t="str">
        <x:v>Heavy warehouse/BI workloads may require enterprise pricing.</x:v>
      </x:c>
      <x:c r="F12" s="35" t="str">
        <x:v>HALO recommended launch pricing — July 2026</x:v>
      </x:c>
    </x:row>
    <x:row r="13">
      <x:c r="A13" s="35" t="str">
        <x:v>HALO Automations</x:v>
      </x:c>
      <x:c r="B13" s="35" t="str">
        <x:v>Rules, triggers, approvals, schedules, webhooks and multi-step workflows.</x:v>
      </x:c>
      <x:c r="C13" s="76" t="n">
        <x:v>3.5</x:v>
      </x:c>
      <x:c r="D13" s="76" t="n">
        <x:v>125</x:v>
      </x:c>
      <x:c r="E13" s="35" t="str">
        <x:v>High-volume workflow executions are usage-metered.</x:v>
      </x:c>
      <x:c r="F13" s="35" t="str">
        <x:v>HALO recommended launch pricing — July 2026</x:v>
      </x:c>
    </x:row>
    <x:row r="14">
      <x:c r="A14" s="35" t="str">
        <x:v>HALO AI</x:v>
      </x:c>
      <x:c r="B14" s="35" t="str">
        <x:v>Business copilot, document intelligence, recommendations and controlled actions.</x:v>
      </x:c>
      <x:c r="C14" s="76" t="n">
        <x:v>5</x:v>
      </x:c>
      <x:c r="D14" s="76" t="n">
        <x:v>200</x:v>
      </x:c>
      <x:c r="E14" s="35" t="str">
        <x:v>Model, token, voice and image costs pass through plus service fee.</x:v>
      </x:c>
      <x:c r="F14" s="35" t="str">
        <x:v>HALO recommended launch pricing — July 2026</x:v>
      </x:c>
    </x:row>
    <x:row r="15">
      <x:c r="A15" s="35" t="str">
        <x:v>HALO Connector Hub</x:v>
      </x:c>
      <x:c r="B15" s="35" t="str">
        <x:v>Provider-neutral connectors, sync jobs, credentials, mapping and event routing.</x:v>
      </x:c>
      <x:c r="C15" s="76" t="n">
        <x:v>2</x:v>
      </x:c>
      <x:c r="D15" s="76" t="n">
        <x:v>100</x:v>
      </x:c>
      <x:c r="E15" s="35" t="str">
        <x:v>Third-party connector licenses pass through.</x:v>
      </x:c>
      <x:c r="F15" s="35" t="str">
        <x:v>HALO recommended launch pricing — July 2026</x:v>
      </x:c>
    </x:row>
  </x:sheetData>
  <x:mergeCells>
    <x:mergeCell ref="A1:F2"/>
    <x:mergeCell ref="A3:F3"/>
  </x:mergeCells>
  <x:conditionalFormatting sqref="A5:F15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9" hidden="0" customWidth="1"/>
    <x:col min="4" max="4" width="27" hidden="0" customWidth="1"/>
    <x:col min="5" max="5" width="24" hidden="0" customWidth="1"/>
    <x:col min="6" max="6" width="48" hidden="0" customWidth="1"/>
  </x:cols>
  <x:sheetData>
    <x:row r="1">
      <x:c r="A1" s="55" t="str">
        <x:v>API Usage, Overage and Infrastructure Pricing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78" t="str">
        <x:v>Usage Item</x:v>
      </x:c>
      <x:c r="B4" s="78" t="str">
        <x:v>Included Allowance</x:v>
      </x:c>
      <x:c r="C4" s="78" t="str">
        <x:v>Standard Overage</x:v>
      </x:c>
      <x:c r="D4" s="78" t="str">
        <x:v>Enterprise Trigger</x:v>
      </x:c>
      <x:c r="E4" s="78" t="str">
        <x:v>Billing Unit</x:v>
      </x:c>
      <x:c r="F4" s="78" t="str">
        <x:v>Notes</x:v>
      </x:c>
    </x:row>
    <x:row r="5">
      <x:c r="A5" s="35" t="str">
        <x:v>REST / GraphQL API calls</x:v>
      </x:c>
      <x:c r="B5" s="35" t="str">
        <x:v>5,000 × maximum users in tier</x:v>
      </x:c>
      <x:c r="C5" s="35" t="str">
        <x:v>$0.75 / 1,000 first 10M excess; $0.50 / 1,000 next 40M</x:v>
      </x:c>
      <x:c r="D5" s="35" t="str">
        <x:v>&gt;50M calls / month</x:v>
      </x:c>
      <x:c r="E5" s="35" t="str">
        <x:v>Successful or billable request</x:v>
      </x:c>
      <x:c r="F5" s="35" t="str">
        <x:v>Failed authentication and HALO-caused 5xx errors are not billed.</x:v>
      </x:c>
    </x:row>
    <x:row r="6">
      <x:c r="A6" s="35" t="str">
        <x:v>Peak throughput</x:v>
      </x:c>
      <x:c r="B6" s="35" t="str">
        <x:v>Tier rate limit</x:v>
      </x:c>
      <x:c r="C6" s="35" t="str">
        <x:v>Upgrade tier or enterprise review</x:v>
      </x:c>
      <x:c r="D6" s="35" t="str">
        <x:v>&gt;250 sustained RPS</x:v>
      </x:c>
      <x:c r="E6" s="35" t="str">
        <x:v>Requests per second</x:v>
      </x:c>
      <x:c r="F6" s="35" t="str">
        <x:v>Burst limits may exceed sustained rate temporarily.</x:v>
      </x:c>
    </x:row>
    <x:row r="7">
      <x:c r="A7" s="35" t="str">
        <x:v>File storage</x:v>
      </x:c>
      <x:c r="B7" s="35" t="str">
        <x:v>Tier allowance</x:v>
      </x:c>
      <x:c r="C7" s="35" t="str">
        <x:v>$0.10 / GB-month</x:v>
      </x:c>
      <x:c r="D7" s="35" t="str">
        <x:v>&gt;5 TB or data residency</x:v>
      </x:c>
      <x:c r="E7" s="35" t="str">
        <x:v>Average GB stored</x:v>
      </x:c>
      <x:c r="F7" s="35" t="str">
        <x:v>Third-party archival fees pass through.</x:v>
      </x:c>
    </x:row>
    <x:row r="8">
      <x:c r="A8" s="35" t="str">
        <x:v>AI / model usage</x:v>
      </x:c>
      <x:c r="B8" s="35" t="str">
        <x:v>No bundled provider spend</x:v>
      </x:c>
      <x:c r="C8" s="35" t="str">
        <x:v>Provider cost + 20% service fee</x:v>
      </x:c>
      <x:c r="D8" s="35" t="str">
        <x:v>Committed model capacity</x:v>
      </x:c>
      <x:c r="E8" s="35" t="str">
        <x:v>Tokens, seconds, images or actions</x:v>
      </x:c>
      <x:c r="F8" s="35" t="str">
        <x:v>HALO AI module license is separate from model consumption.</x:v>
      </x:c>
    </x:row>
    <x:row r="9">
      <x:c r="A9" s="35" t="str">
        <x:v>OCR</x:v>
      </x:c>
      <x:c r="B9" s="35" t="str">
        <x:v>None</x:v>
      </x:c>
      <x:c r="C9" s="35" t="str">
        <x:v>$0.06 / page</x:v>
      </x:c>
      <x:c r="D9" s="35" t="str">
        <x:v>High-volume document processing</x:v>
      </x:c>
      <x:c r="E9" s="35" t="str">
        <x:v>Processed page</x:v>
      </x:c>
      <x:c r="F9" s="35" t="str">
        <x:v>May vary by provider and document type.</x:v>
      </x:c>
    </x:row>
    <x:row r="10">
      <x:c r="A10" s="35" t="str">
        <x:v>Electronic signature</x:v>
      </x:c>
      <x:c r="B10" s="35" t="str">
        <x:v>None</x:v>
      </x:c>
      <x:c r="C10" s="35" t="str">
        <x:v>$1.00 / envelope</x:v>
      </x:c>
      <x:c r="D10" s="35" t="str">
        <x:v>Custom embedded signing contract</x:v>
      </x:c>
      <x:c r="E10" s="35" t="str">
        <x:v>Completed or sent envelope</x:v>
      </x:c>
      <x:c r="F10" s="35" t="str">
        <x:v>Provider fees may replace this rate.</x:v>
      </x:c>
    </x:row>
    <x:row r="11">
      <x:c r="A11" s="35" t="str">
        <x:v>Bank / payment data</x:v>
      </x:c>
      <x:c r="B11" s="35" t="str">
        <x:v>Connector-dependent</x:v>
      </x:c>
      <x:c r="C11" s="35" t="str">
        <x:v>Provider cost pass-through</x:v>
      </x:c>
      <x:c r="D11" s="35" t="str">
        <x:v>Custom commercial contract</x:v>
      </x:c>
      <x:c r="E11" s="35" t="str">
        <x:v>Connected account or transaction</x:v>
      </x:c>
      <x:c r="F11" s="35" t="str">
        <x:v>HALO does not absorb regulated provider charges.</x:v>
      </x:c>
    </x:row>
    <x:row r="12">
      <x:c r="A12" s="35" t="str">
        <x:v>Webhook delivery</x:v>
      </x:c>
      <x:c r="B12" s="35" t="str">
        <x:v>Included in API allowance</x:v>
      </x:c>
      <x:c r="C12" s="35" t="str">
        <x:v>Counts as API usage</x:v>
      </x:c>
      <x:c r="D12" s="35" t="str">
        <x:v>High fan-out / dedicated event bus</x:v>
      </x:c>
      <x:c r="E12" s="35" t="str">
        <x:v>Delivery attempt</x:v>
      </x:c>
      <x:c r="F12" s="35" t="str">
        <x:v>Retries caused by partner endpoint failure are billable after free retry window.</x:v>
      </x:c>
    </x:row>
  </x:sheetData>
  <x:mergeCells>
    <x:mergeCell ref="A1:F2"/>
  </x:mergeCells>
  <x:conditionalFormatting sqref="A5:F12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3" hidden="0" customWidth="1"/>
  </x:cols>
  <x:sheetData>
    <x:row r="1">
      <x:c r="A1" s="55" t="str">
        <x:v>HALO Wholesale and Partner Retail Calculator</x:v>
      </x:c>
      <x:c r="B1" s="55"/>
      <x:c r="C1" s="55"/>
      <x:c r="D1" s="55"/>
      <x:c r="E1" s="55"/>
      <x:c r="F1" s="55"/>
      <x:c r="G1" s="55"/>
    </x:row>
    <x:row r="2">
      <x:c r="A2" s="55"/>
      <x:c r="B2" s="55"/>
      <x:c r="C2" s="55"/>
      <x:c r="D2" s="55"/>
      <x:c r="E2" s="55"/>
      <x:c r="F2" s="55"/>
      <x:c r="G2" s="55"/>
    </x:row>
    <x:row r="4">
      <x:c r="A4" s="9" t="str">
        <x:v>Input</x:v>
      </x:c>
      <x:c r="B4" s="9" t="str">
        <x:v>Value</x:v>
      </x:c>
      <x:c r="D4" s="74" t="str">
        <x:v>Calculated Item</x:v>
      </x:c>
      <x:c r="E4" s="74" t="str">
        <x:v>Value</x:v>
      </x:c>
      <x:c r="F4" s="74" t="str">
        <x:v>Status / Rule</x:v>
      </x:c>
      <x:c r="G4" s="74" t="str">
        <x:v>Notes</x:v>
      </x:c>
    </x:row>
    <x:row r="5">
      <x:c r="A5" s="21" t="str">
        <x:v>Monthly active users</x:v>
      </x:c>
      <x:c r="B5" s="84" t="n">
        <x:v>50</x:v>
      </x:c>
      <x:c r="D5" s="90" t="str">
        <x:v>Selected user band</x:v>
      </x:c>
      <x:c r="E5" s="35" t="str">
        <x:f>INDEX('User Tiers'!$A$5:$A$24,MATCH(B5,'User Tiers'!$B$5:$B$24,1))</x:f>
        <x:v>1-50</x:v>
      </x:c>
      <x:c r="F5" s="35" t="str">
        <x:v>50-user band</x:v>
      </x:c>
      <x:c r="G5" s="35" t="str">
        <x:v>The pricing band containing active users.</x:v>
      </x:c>
    </x:row>
    <x:row r="6">
      <x:c r="A6" s="21" t="str">
        <x:v>Monthly API calls</x:v>
      </x:c>
      <x:c r="B6" s="84" t="n">
        <x:v>250000</x:v>
      </x:c>
      <x:c r="D6" s="90" t="str">
        <x:v>Core monthly platform fee</x:v>
      </x:c>
      <x:c r="E6" s="76" t="n">
        <x:f>INDEX('User Tiers'!$D$5:$D$24,MATCH(B5,'User Tiers'!$B$5:$B$24,1))</x:f>
        <x:v>995</x:v>
      </x:c>
      <x:c r="F6" s="35" t="str">
        <x:v>Core platform</x:v>
      </x:c>
      <x:c r="G6" s="35" t="str">
        <x:v>Includes core APIs, identity, tenant model, entitlements, audit and support.</x:v>
      </x:c>
    </x:row>
    <x:row r="7">
      <x:c r="A7" s="21" t="str">
        <x:v>Peak sustained RPS</x:v>
      </x:c>
      <x:c r="B7" s="84" t="n">
        <x:v>25</x:v>
      </x:c>
      <x:c r="D7" s="90" t="str">
        <x:v>Included API calls</x:v>
      </x:c>
      <x:c r="E7" s="91" t="n">
        <x:f>INDEX('User Tiers'!$E$5:$E$24,MATCH(B5,'User Tiers'!$B$5:$B$24,1))</x:f>
        <x:v>250000</x:v>
      </x:c>
      <x:c r="F7" s="35" t="str">
        <x:v>5,000 calls × tier maximum</x:v>
      </x:c>
      <x:c r="G7" s="35" t="str">
        <x:v>Unused calls do not roll over.</x:v>
      </x:c>
    </x:row>
    <x:row r="8">
      <x:c r="A8" s="21" t="str">
        <x:v>Third-party / AI provider cost</x:v>
      </x:c>
      <x:c r="B8" s="86" t="n">
        <x:v>0</x:v>
      </x:c>
      <x:c r="D8" s="90" t="str">
        <x:v>Module price multiplier</x:v>
      </x:c>
      <x:c r="E8" s="36" t="n">
        <x:f>INDEX('User Tiers'!$I$5:$I$24,MATCH(B5,'User Tiers'!$B$5:$B$24,1))</x:f>
        <x:v>1</x:v>
      </x:c>
      <x:c r="F8" s="35" t="str">
        <x:v>Volume discount</x:v>
      </x:c>
      <x:c r="G8" s="35" t="str">
        <x:v>100% through 250 users; declines to 70% by 1,000 users.</x:v>
      </x:c>
    </x:row>
    <x:row r="9">
      <x:c r="A9" s="21" t="str">
        <x:v>Storage overage (GB)</x:v>
      </x:c>
      <x:c r="B9" s="86" t="n">
        <x:v>0</x:v>
      </x:c>
      <x:c r="D9" s="90" t="str">
        <x:v>Module total</x:v>
      </x:c>
      <x:c r="E9" s="76" t="n">
        <x:f>SUM(G20:G30)</x:f>
        <x:v>0</x:v>
      </x:c>
      <x:c r="F9" s="35" t="str">
        <x:v>Selected Legos</x:v>
      </x:c>
      <x:c r="G9" s="35" t="str">
        <x:v>Per-user rate after multiplier, subject to module minimum.</x:v>
      </x:c>
    </x:row>
    <x:row r="10">
      <x:c r="A10" s="21" t="str">
        <x:v>Partner retail markup</x:v>
      </x:c>
      <x:c r="B10" s="88" t="n">
        <x:v>0.75</x:v>
      </x:c>
      <x:c r="D10" s="90" t="str">
        <x:v>API overage</x:v>
      </x:c>
      <x:c r="E10" s="76" t="n">
        <x:f>MAX(0,MIN(B6-E7,10000000))/1000*0.75+MAX(0,MIN(B6-E7-10000000,40000000))/1000*0.50+MAX(0,B6-E7-50000000)/1000*0.25</x:f>
        <x:v>0</x:v>
      </x:c>
      <x:c r="F10" s="35" t="str">
        <x:v>Graduated overage</x:v>
      </x:c>
      <x:c r="G10" s="35" t="str">
        <x:v>Above 50M monthly calls requires enterprise review.</x:v>
      </x:c>
    </x:row>
    <x:row r="11">
      <x:c r="D11" s="90" t="str">
        <x:v>Storage overage</x:v>
      </x:c>
      <x:c r="E11" s="76" t="n">
        <x:f>MAX(0,B9)*0.10</x:f>
        <x:v>0</x:v>
      </x:c>
      <x:c r="F11" s="35" t="str">
        <x:v>$0.10 / GB</x:v>
      </x:c>
      <x:c r="G11" s="35" t="str">
        <x:v>Based on storage beyond the included tier allowance.</x:v>
      </x:c>
    </x:row>
    <x:row r="12">
      <x:c r="D12" s="90" t="str">
        <x:v>Third-party cost + service fee</x:v>
      </x:c>
      <x:c r="E12" s="76" t="n">
        <x:f>MAX(0,B8)*1.20</x:f>
        <x:v>0</x:v>
      </x:c>
      <x:c r="F12" s="35" t="str">
        <x:v>20% service fee</x:v>
      </x:c>
      <x:c r="G12" s="35" t="str">
        <x:v>Use actual provider invoices or committed spend.</x:v>
      </x:c>
    </x:row>
    <x:row r="13">
      <x:c r="D13" s="90" t="str">
        <x:v>HALO wholesale total</x:v>
      </x:c>
      <x:c r="E13" s="76" t="n">
        <x:f>SUM(E6,E9:E12)</x:f>
        <x:v>995</x:v>
      </x:c>
      <x:c r="F13" s="35" t="str">
        <x:v>Wholesale</x:v>
      </x:c>
      <x:c r="G13" s="35" t="str">
        <x:v>Does not include taxes or professional services.</x:v>
      </x:c>
    </x:row>
    <x:row r="14">
      <x:c r="D14" s="90" t="str">
        <x:v>Recommended retail price</x:v>
      </x:c>
      <x:c r="E14" s="76" t="n">
        <x:f>E13*(1+B10)</x:f>
        <x:v>1741.25</x:v>
      </x:c>
      <x:c r="F14" s="35" t="str">
        <x:v>Cost × markup</x:v>
      </x:c>
      <x:c r="G14" s="35" t="str">
        <x:v>Partner can override for its own retail package.</x:v>
      </x:c>
    </x:row>
    <x:row r="15">
      <x:c r="D15" s="90" t="str">
        <x:v>Partner gross margin</x:v>
      </x:c>
      <x:c r="E15" s="76" t="n">
        <x:f>E14-E13</x:f>
        <x:v>746.25</x:v>
      </x:c>
      <x:c r="F15" s="35" t="str">
        <x:v>Retail less wholesale</x:v>
      </x:c>
      <x:c r="G15" s="35" t="str">
        <x:v>Before partner sales and support expense.</x:v>
      </x:c>
    </x:row>
    <x:row r="16">
      <x:c r="D16" s="90" t="str">
        <x:v>Commercial status</x:v>
      </x:c>
      <x:c r="E16" s="35" t="str">
        <x:f>IF(OR(B5&gt;1000,B6&gt;50000000,B7&gt;250),"CUSTOM ENTERPRISE","STANDARD")</x:f>
        <x:v>STANDARD</x:v>
      </x:c>
      <x:c r="F16" s="35" t="str">
        <x:v>Enterprise triggers</x:v>
      </x:c>
      <x:c r="G16" s="35" t="str">
        <x:v>Also triggered by dedicated infrastructure, compliance or SLA needs.</x:v>
      </x:c>
    </x:row>
    <x:row r="18">
      <x:c r="A18" s="41" t="str">
        <x:v>A-LA-CARTE MODULE MENU</x:v>
      </x:c>
      <x:c r="B18" s="41"/>
      <x:c r="C18" s="41"/>
      <x:c r="D18" s="41"/>
      <x:c r="E18" s="41"/>
      <x:c r="F18" s="41"/>
      <x:c r="G18" s="41"/>
    </x:row>
    <x:row r="19">
      <x:c r="A19" s="34" t="str">
        <x:v>Module</x:v>
      </x:c>
      <x:c r="B19" s="34" t="str">
        <x:v>Selected?</x:v>
      </x:c>
      <x:c r="C19" s="34" t="str">
        <x:v>Rate / Active User</x:v>
      </x:c>
      <x:c r="D19" s="34" t="str">
        <x:v>Volume Multiplier</x:v>
      </x:c>
      <x:c r="E19" s="34" t="str">
        <x:v>Calculated User Fee</x:v>
      </x:c>
      <x:c r="F19" s="34" t="str">
        <x:v>Minimum Fee</x:v>
      </x:c>
      <x:c r="G19" s="34" t="str">
        <x:v>Billed Module Fee</x:v>
      </x:c>
    </x:row>
    <x:row r="20">
      <x:c r="A20" t="str">
        <x:v>HALO Money</x:v>
      </x:c>
      <x:c r="B20" s="94" t="str">
        <x:v>No</x:v>
      </x:c>
      <x:c r="C20" s="68" t="n">
        <x:v>3</x:v>
      </x:c>
      <x:c r="D20" s="32" t="n">
        <x:f>$E$8</x:f>
        <x:v>1</x:v>
      </x:c>
      <x:c r="E20" s="68" t="n">
        <x:f>IF(B20="Yes",$B$5*C20*D20,0)</x:f>
        <x:v>0</x:v>
      </x:c>
      <x:c r="F20" s="68" t="n">
        <x:v>100</x:v>
      </x:c>
      <x:c r="G20" s="68" t="n">
        <x:f>IF(B20="Yes",MAX(E20,F20),0)</x:f>
        <x:v>0</x:v>
      </x:c>
    </x:row>
    <x:row r="21">
      <x:c r="A21" t="str">
        <x:v>HALO Books</x:v>
      </x:c>
      <x:c r="B21" s="94" t="str">
        <x:v>No</x:v>
      </x:c>
      <x:c r="C21" s="68" t="n">
        <x:v>6</x:v>
      </x:c>
      <x:c r="D21" s="32" t="n">
        <x:f>$E$8</x:f>
        <x:v>1</x:v>
      </x:c>
      <x:c r="E21" s="68" t="n">
        <x:f>IF(B21="Yes",$B$5*C21*D21,0)</x:f>
        <x:v>0</x:v>
      </x:c>
      <x:c r="F21" s="68" t="n">
        <x:v>250</x:v>
      </x:c>
      <x:c r="G21" s="68" t="n">
        <x:f>IF(B21="Yes",MAX(E21,F21),0)</x:f>
        <x:v>0</x:v>
      </x:c>
    </x:row>
    <x:row r="22">
      <x:c r="A22" t="str">
        <x:v>HALO Tax</x:v>
      </x:c>
      <x:c r="B22" s="94" t="str">
        <x:v>No</x:v>
      </x:c>
      <x:c r="C22" s="68" t="n">
        <x:v>5</x:v>
      </x:c>
      <x:c r="D22" s="32" t="n">
        <x:f>$E$8</x:f>
        <x:v>1</x:v>
      </x:c>
      <x:c r="E22" s="68" t="n">
        <x:f>IF(B22="Yes",$B$5*C22*D22,0)</x:f>
        <x:v>0</x:v>
      </x:c>
      <x:c r="F22" s="68" t="n">
        <x:v>200</x:v>
      </x:c>
      <x:c r="G22" s="68" t="n">
        <x:f>IF(B22="Yes",MAX(E22,F22),0)</x:f>
        <x:v>0</x:v>
      </x:c>
    </x:row>
    <x:row r="23">
      <x:c r="A23" t="str">
        <x:v>HALO Sell</x:v>
      </x:c>
      <x:c r="B23" s="94" t="str">
        <x:v>No</x:v>
      </x:c>
      <x:c r="C23" s="68" t="n">
        <x:v>4</x:v>
      </x:c>
      <x:c r="D23" s="32" t="n">
        <x:f>$E$8</x:f>
        <x:v>1</x:v>
      </x:c>
      <x:c r="E23" s="68" t="n">
        <x:f>IF(B23="Yes",$B$5*C23*D23,0)</x:f>
        <x:v>0</x:v>
      </x:c>
      <x:c r="F23" s="68" t="n">
        <x:v>150</x:v>
      </x:c>
      <x:c r="G23" s="68" t="n">
        <x:f>IF(B23="Yes",MAX(E23,F23),0)</x:f>
        <x:v>0</x:v>
      </x:c>
    </x:row>
    <x:row r="24">
      <x:c r="A24" t="str">
        <x:v>HALO Work</x:v>
      </x:c>
      <x:c r="B24" s="94" t="str">
        <x:v>No</x:v>
      </x:c>
      <x:c r="C24" s="68" t="n">
        <x:v>4</x:v>
      </x:c>
      <x:c r="D24" s="32" t="n">
        <x:f>$E$8</x:f>
        <x:v>1</x:v>
      </x:c>
      <x:c r="E24" s="68" t="n">
        <x:f>IF(B24="Yes",$B$5*C24*D24,0)</x:f>
        <x:v>0</x:v>
      </x:c>
      <x:c r="F24" s="68" t="n">
        <x:v>150</x:v>
      </x:c>
      <x:c r="G24" s="68" t="n">
        <x:f>IF(B24="Yes",MAX(E24,F24),0)</x:f>
        <x:v>0</x:v>
      </x:c>
    </x:row>
    <x:row r="25">
      <x:c r="A25" t="str">
        <x:v>HALO Team</x:v>
      </x:c>
      <x:c r="B25" s="94" t="str">
        <x:v>No</x:v>
      </x:c>
      <x:c r="C25" s="68" t="n">
        <x:v>3</x:v>
      </x:c>
      <x:c r="D25" s="32" t="n">
        <x:f>$E$8</x:f>
        <x:v>1</x:v>
      </x:c>
      <x:c r="E25" s="68" t="n">
        <x:f>IF(B25="Yes",$B$5*C25*D25,0)</x:f>
        <x:v>0</x:v>
      </x:c>
      <x:c r="F25" s="68" t="n">
        <x:v>100</x:v>
      </x:c>
      <x:c r="G25" s="68" t="n">
        <x:f>IF(B25="Yes",MAX(E25,F25),0)</x:f>
        <x:v>0</x:v>
      </x:c>
    </x:row>
    <x:row r="26">
      <x:c r="A26" t="str">
        <x:v>HALO Documents</x:v>
      </x:c>
      <x:c r="B26" s="94" t="str">
        <x:v>No</x:v>
      </x:c>
      <x:c r="C26" s="68" t="n">
        <x:v>2</x:v>
      </x:c>
      <x:c r="D26" s="32" t="n">
        <x:f>$E$8</x:f>
        <x:v>1</x:v>
      </x:c>
      <x:c r="E26" s="68" t="n">
        <x:f>IF(B26="Yes",$B$5*C26*D26,0)</x:f>
        <x:v>0</x:v>
      </x:c>
      <x:c r="F26" s="68" t="n">
        <x:v>75</x:v>
      </x:c>
      <x:c r="G26" s="68" t="n">
        <x:f>IF(B26="Yes",MAX(E26,F26),0)</x:f>
        <x:v>0</x:v>
      </x:c>
    </x:row>
    <x:row r="27">
      <x:c r="A27" t="str">
        <x:v>HALO Analytics</x:v>
      </x:c>
      <x:c r="B27" s="94" t="str">
        <x:v>No</x:v>
      </x:c>
      <x:c r="C27" s="68" t="n">
        <x:v>2.5</x:v>
      </x:c>
      <x:c r="D27" s="32" t="n">
        <x:f>$E$8</x:f>
        <x:v>1</x:v>
      </x:c>
      <x:c r="E27" s="68" t="n">
        <x:f>IF(B27="Yes",$B$5*C27*D27,0)</x:f>
        <x:v>0</x:v>
      </x:c>
      <x:c r="F27" s="68" t="n">
        <x:v>100</x:v>
      </x:c>
      <x:c r="G27" s="68" t="n">
        <x:f>IF(B27="Yes",MAX(E27,F27),0)</x:f>
        <x:v>0</x:v>
      </x:c>
    </x:row>
    <x:row r="28">
      <x:c r="A28" t="str">
        <x:v>HALO Automations</x:v>
      </x:c>
      <x:c r="B28" s="94" t="str">
        <x:v>No</x:v>
      </x:c>
      <x:c r="C28" s="68" t="n">
        <x:v>3.5</x:v>
      </x:c>
      <x:c r="D28" s="32" t="n">
        <x:f>$E$8</x:f>
        <x:v>1</x:v>
      </x:c>
      <x:c r="E28" s="68" t="n">
        <x:f>IF(B28="Yes",$B$5*C28*D28,0)</x:f>
        <x:v>0</x:v>
      </x:c>
      <x:c r="F28" s="68" t="n">
        <x:v>125</x:v>
      </x:c>
      <x:c r="G28" s="68" t="n">
        <x:f>IF(B28="Yes",MAX(E28,F28),0)</x:f>
        <x:v>0</x:v>
      </x:c>
    </x:row>
    <x:row r="29">
      <x:c r="A29" t="str">
        <x:v>HALO AI</x:v>
      </x:c>
      <x:c r="B29" s="94" t="str">
        <x:v>No</x:v>
      </x:c>
      <x:c r="C29" s="68" t="n">
        <x:v>5</x:v>
      </x:c>
      <x:c r="D29" s="32" t="n">
        <x:f>$E$8</x:f>
        <x:v>1</x:v>
      </x:c>
      <x:c r="E29" s="68" t="n">
        <x:f>IF(B29="Yes",$B$5*C29*D29,0)</x:f>
        <x:v>0</x:v>
      </x:c>
      <x:c r="F29" s="68" t="n">
        <x:v>200</x:v>
      </x:c>
      <x:c r="G29" s="68" t="n">
        <x:f>IF(B29="Yes",MAX(E29,F29),0)</x:f>
        <x:v>0</x:v>
      </x:c>
    </x:row>
    <x:row r="30">
      <x:c r="A30" t="str">
        <x:v>HALO Connector Hub</x:v>
      </x:c>
      <x:c r="B30" s="94" t="str">
        <x:v>No</x:v>
      </x:c>
      <x:c r="C30" s="68" t="n">
        <x:v>2</x:v>
      </x:c>
      <x:c r="D30" s="32" t="n">
        <x:f>$E$8</x:f>
        <x:v>1</x:v>
      </x:c>
      <x:c r="E30" s="68" t="n">
        <x:f>IF(B30="Yes",$B$5*C30*D30,0)</x:f>
        <x:v>0</x:v>
      </x:c>
      <x:c r="F30" s="68" t="n">
        <x:v>100</x:v>
      </x:c>
      <x:c r="G30" s="68" t="n">
        <x:f>IF(B30="Yes",MAX(E30,F30),0)</x:f>
        <x:v>0</x:v>
      </x:c>
    </x:row>
  </x:sheetData>
  <x:mergeCells>
    <x:mergeCell ref="A1:G2"/>
    <x:mergeCell ref="A18:G18"/>
  </x:mergeCells>
  <x:conditionalFormatting sqref="E16:E16">
    <x:cfRule type="expression" dxfId="3" priority="1">
      <x:formula>E16="CUSTOM ENTERPRISE"</x:formula>
    </x:cfRule>
    <x:cfRule type="expression" dxfId="4" priority="2">
      <x:formula>E16="STANDARD"</x:formula>
    </x:cfRule>
  </x:conditionalFormatting>
  <x:conditionalFormatting sqref="A19:G30">
    <x:cfRule type="expression" dxfId="5" priority="3">
      <x:formula>MOD(ROW(),2)=0</x:formula>
    </x:cfRule>
  </x:conditionalFormatting>
  <x:dataValidations count="1">
    <x:dataValidation type="list" sqref="B20:B3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6" hidden="0" customWidth="1"/>
    <x:col min="3" max="3" width="68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55" t="str">
        <x:v>Custom Enterprise Pricing Framework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97" t="str">
        <x:v>AUTOMATIC ENTERPRISE REVIEW TRIGGERS</x:v>
      </x:c>
      <x:c r="B4" s="97"/>
      <x:c r="C4" s="97"/>
      <x:c r="D4" s="97"/>
      <x:c r="E4" s="97"/>
      <x:c r="F4" s="97"/>
    </x:row>
    <x:row r="5">
      <x:c r="A5" s="101" t="str">
        <x:v>1</x:v>
      </x:c>
      <x:c r="B5" s="35" t="str">
        <x:v>More than 1,000 monthly active users</x:v>
      </x:c>
    </x:row>
    <x:row r="6">
      <x:c r="A6" s="101" t="str">
        <x:v>2</x:v>
      </x:c>
      <x:c r="B6" s="35" t="str">
        <x:v>More than 50 million API calls per month</x:v>
      </x:c>
    </x:row>
    <x:row r="7">
      <x:c r="A7" s="101" t="str">
        <x:v>3</x:v>
      </x:c>
      <x:c r="B7" s="35" t="str">
        <x:v>Sustained throughput above 250 requests per second</x:v>
      </x:c>
    </x:row>
    <x:row r="8">
      <x:c r="A8" s="101" t="str">
        <x:v>4</x:v>
      </x:c>
      <x:c r="B8" s="35" t="str">
        <x:v>Dedicated environment, region or data residency</x:v>
      </x:c>
    </x:row>
    <x:row r="9">
      <x:c r="A9" s="101" t="str">
        <x:v>5</x:v>
      </x:c>
      <x:c r="B9" s="35" t="str">
        <x:v>99.95% or higher contractual SLA</x:v>
      </x:c>
    </x:row>
    <x:row r="10">
      <x:c r="A10" s="101" t="str">
        <x:v>6</x:v>
      </x:c>
      <x:c r="B10" s="35" t="str">
        <x:v>Custom compliance, security or audit requirements</x:v>
      </x:c>
    </x:row>
    <x:row r="11">
      <x:c r="A11" s="101" t="str">
        <x:v>7</x:v>
      </x:c>
      <x:c r="B11" s="35" t="str">
        <x:v>24/7 support or named technical account management</x:v>
      </x:c>
    </x:row>
    <x:row r="14">
      <x:c r="A14" s="9" t="str">
        <x:v>NEGOTIATED COMMERCIAL COMPONENTS</x:v>
      </x:c>
      <x:c r="B14" s="9"/>
      <x:c r="C14" s="9"/>
      <x:c r="D14" s="9"/>
      <x:c r="E14" s="9"/>
      <x:c r="F14" s="9"/>
    </x:row>
    <x:row r="15">
      <x:c r="A15" s="90" t="str">
        <x:v>Annual platform commitment</x:v>
      </x:c>
      <x:c r="B15" s="35" t="str">
        <x:v>$75,000-$250,000+</x:v>
      </x:c>
      <x:c r="C15" s="35" t="str">
        <x:v>Minimum annual contract value based on scale and complexity.</x:v>
      </x:c>
    </x:row>
    <x:row r="16">
      <x:c r="A16" s="90" t="str">
        <x:v>Monthly active user rate</x:v>
      </x:c>
      <x:c r="B16" s="35" t="str">
        <x:v>$2-$6 per MAU</x:v>
      </x:c>
      <x:c r="C16" s="35" t="str">
        <x:v>Graduated or committed volume pricing.</x:v>
      </x:c>
    </x:row>
    <x:row r="17">
      <x:c r="A17" s="90" t="str">
        <x:v>API consumption</x:v>
      </x:c>
      <x:c r="B17" s="35" t="str">
        <x:v>$0.08-$0.35 per 1,000 calls</x:v>
      </x:c>
      <x:c r="C17" s="35" t="str">
        <x:v>Based on committed monthly volume and workload profile.</x:v>
      </x:c>
    </x:row>
    <x:row r="18">
      <x:c r="A18" s="90" t="str">
        <x:v>Dedicated environment</x:v>
      </x:c>
      <x:c r="B18" s="35" t="str">
        <x:v>$3,000-$15,000 per month</x:v>
      </x:c>
      <x:c r="C18" s="35" t="str">
        <x:v>Dedicated compute, database, networking or region.</x:v>
      </x:c>
    </x:row>
    <x:row r="19">
      <x:c r="A19" s="90" t="str">
        <x:v>Implementation</x:v>
      </x:c>
      <x:c r="B19" s="35" t="str">
        <x:v>$25,000-$250,000 one time</x:v>
      </x:c>
      <x:c r="C19" s="35" t="str">
        <x:v>Migration, SSO, integrations, security review and custom modules.</x:v>
      </x:c>
    </x:row>
    <x:row r="20">
      <x:c r="A20" s="90" t="str">
        <x:v>Premium support and SLA</x:v>
      </x:c>
      <x:c r="B20" s="35" t="str">
        <x:v>10%-20% of annual contract value</x:v>
      </x:c>
      <x:c r="C20" s="35" t="str">
        <x:v>Named TAM, 24/7 support, response times and service credits.</x:v>
      </x:c>
    </x:row>
    <x:row r="21">
      <x:c r="A21" s="90" t="str">
        <x:v>Security / compliance package</x:v>
      </x:c>
      <x:c r="B21" s="35" t="str">
        <x:v>$15,000-$100,000 per year</x:v>
      </x:c>
      <x:c r="C21" s="35" t="str">
        <x:v>Audit support, custom controls, data residency and compliance commitments.</x:v>
      </x:c>
    </x:row>
    <x:row r="22">
      <x:c r="A22" s="90" t="str">
        <x:v>Contract term</x:v>
      </x:c>
      <x:c r="B22" s="35" t="str">
        <x:v>12-36 months</x:v>
      </x:c>
      <x:c r="C22" s="35" t="str">
        <x:v>Use minimum commitments and true-up provisions.</x:v>
      </x:c>
    </x:row>
    <x:row r="24">
      <x:c r="A24" s="107" t="str">
        <x:v>Enterprise rule: never quote solely from user count. Price from the higher of committed users, API volume, infrastructure cost, support burden, compliance obligations and strategic value. Add a minimum annual commitment and pass through all third-party regulated-service costs.</x:v>
      </x:c>
      <x:c r="B24" s="107"/>
      <x:c r="C24" s="107"/>
      <x:c r="D24" s="107"/>
      <x:c r="E24" s="107"/>
      <x:c r="F24" s="107"/>
    </x:row>
    <x:row r="25">
      <x:c r="A25" s="107"/>
      <x:c r="B25" s="107"/>
      <x:c r="C25" s="107"/>
      <x:c r="D25" s="107"/>
      <x:c r="E25" s="107"/>
      <x:c r="F25" s="107"/>
    </x:row>
    <x:row r="26">
      <x:c r="A26" s="107"/>
      <x:c r="B26" s="107"/>
      <x:c r="C26" s="107"/>
      <x:c r="D26" s="107"/>
      <x:c r="E26" s="107"/>
      <x:c r="F26" s="107"/>
    </x:row>
  </x:sheetData>
  <x:mergeCells>
    <x:mergeCell ref="A1:F2"/>
    <x:mergeCell ref="A4:F4"/>
    <x:mergeCell ref="A14:F14"/>
    <x:mergeCell ref="A24:F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0" hidden="0" customWidth="1"/>
    <x:col min="4" max="4" width="52" hidden="0" customWidth="1"/>
  </x:cols>
  <x:sheetData>
    <x:row r="1">
      <x:c r="A1" s="55" t="str">
        <x:v>Billing Definitions and Guardrails</x:v>
      </x:c>
      <x:c r="B1" s="55"/>
      <x:c r="C1" s="55"/>
      <x:c r="D1" s="55"/>
    </x:row>
    <x:row r="2">
      <x:c r="A2" s="55"/>
      <x:c r="B2" s="55"/>
      <x:c r="C2" s="55"/>
      <x:c r="D2" s="55"/>
    </x:row>
    <x:row r="4">
      <x:c r="A4" s="9" t="str">
        <x:v>Term</x:v>
      </x:c>
      <x:c r="B4" s="9" t="str">
        <x:v>Definition</x:v>
      </x:c>
      <x:c r="C4" s="9" t="str">
        <x:v>Billing Treatment</x:v>
      </x:c>
      <x:c r="D4" s="9" t="str">
        <x:v>Guardrail</x:v>
      </x:c>
    </x:row>
    <x:row r="5">
      <x:c r="A5" s="90" t="str">
        <x:v>Monthly Active User (MAU)</x:v>
      </x:c>
      <x:c r="B5" s="35" t="str">
        <x:v>A unique end user who authenticates or performs a billable action during the calendar month.</x:v>
      </x:c>
      <x:c r="C5" s="35" t="str">
        <x:v>Counted once per partner per month.</x:v>
      </x:c>
      <x:c r="D5" s="35" t="str">
        <x:v>Service accounts are excluded but their API calls are metered.</x:v>
      </x:c>
    </x:row>
    <x:row r="6">
      <x:c r="A6" s="90" t="str">
        <x:v>User tier</x:v>
      </x:c>
      <x:c r="B6" s="35" t="str">
        <x:v>The 50-user band containing the month's MAU count.</x:v>
      </x:c>
      <x:c r="C6" s="35" t="str">
        <x:v>Monthly fee is based on the highest MAU count reached in the billing month.</x:v>
      </x:c>
      <x:c r="D6" s="35" t="str">
        <x:v>Use daily unique-user snapshots to prevent manipulation.</x:v>
      </x:c>
    </x:row>
    <x:row r="7">
      <x:c r="A7" s="90" t="str">
        <x:v>API call</x:v>
      </x:c>
      <x:c r="B7" s="35" t="str">
        <x:v>A successful or billable request to a HALO API, embedded component backend or webhook delivery.</x:v>
      </x:c>
      <x:c r="C7" s="35" t="str">
        <x:v>Deducted from included allowance, then billed as overage.</x:v>
      </x:c>
      <x:c r="D7" s="35" t="str">
        <x:v>Authentication failures and HALO-caused 5xx errors are excluded.</x:v>
      </x:c>
    </x:row>
    <x:row r="8">
      <x:c r="A8" s="90" t="str">
        <x:v>Active module user</x:v>
      </x:c>
      <x:c r="B8" s="35" t="str">
        <x:v>An MAU entitled to or using a selected module.</x:v>
      </x:c>
      <x:c r="C8" s="35" t="str">
        <x:v>Default is all partner MAUs unless entitlement is scoped to a subset.</x:v>
      </x:c>
      <x:c r="D8" s="35" t="str">
        <x:v>Module usage should be auditable by entitlement.</x:v>
      </x:c>
    </x:row>
    <x:row r="9">
      <x:c r="A9" s="90" t="str">
        <x:v>Third-party cost</x:v>
      </x:c>
      <x:c r="B9" s="35" t="str">
        <x:v>Banking, payment, tax filing, payroll, messaging, model or other provider charge.</x:v>
      </x:c>
      <x:c r="C9" s="35" t="str">
        <x:v>Passed through plus contracted service fee.</x:v>
      </x:c>
      <x:c r="D9" s="35" t="str">
        <x:v>Do not bury volatile regulated-provider cost inside fixed pricing.</x:v>
      </x:c>
    </x:row>
    <x:row r="10">
      <x:c r="A10" s="90" t="str">
        <x:v>Professional service</x:v>
      </x:c>
      <x:c r="B10" s="35" t="str">
        <x:v>Bookkeeping, tax preparation, legal, advisory, implementation or managed operations.</x:v>
      </x:c>
      <x:c r="C10" s="35" t="str">
        <x:v>Priced separately from software.</x:v>
      </x:c>
      <x:c r="D10" s="35" t="str">
        <x:v>Maintain separate order forms and scope of work.</x:v>
      </x:c>
    </x:row>
    <x:row r="11">
      <x:c r="A11" s="90" t="str">
        <x:v>Enterprise customer</x:v>
      </x:c>
      <x:c r="B11" s="35" t="str">
        <x:v>A customer meeting a scale, API, infrastructure, support, compliance or SLA trigger.</x:v>
      </x:c>
      <x:c r="C11" s="35" t="str">
        <x:v>Custom annual agreement.</x:v>
      </x:c>
      <x:c r="D11" s="35" t="str">
        <x:v>Minimum annual commitment, true-ups and pass-through costs required.</x:v>
      </x:c>
    </x:row>
  </x:sheetData>
  <x:mergeCells>
    <x:mergeCell ref="A1:D2"/>
  </x:mergeCells>
  <x:pageMargins left="0.7" right="0.7" top="0.75" bottom="0.75" header="0.3" footer="0.3"/>
</x:worksheet>
</file>